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850" windowHeight="10480"/>
  </bookViews>
  <sheets>
    <sheet name="Scenario1" sheetId="1" r:id="rId1"/>
    <sheet name="Scenario-2" sheetId="4" r:id="rId2"/>
    <sheet name="Scenario-3" sheetId="5" r:id="rId3"/>
    <sheet name="Scenario-4" sheetId="6" r:id="rId4"/>
    <sheet name="Scenario-5" sheetId="7" r:id="rId5"/>
    <sheet name="Scenario-6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hongf</author>
  </authors>
  <commentList>
    <comment ref="A14" authorId="0">
      <text>
        <r>
          <rPr>
            <b/>
            <sz val="9"/>
            <rFont val="宋体"/>
            <charset val="134"/>
          </rPr>
          <t>hongf:</t>
        </r>
        <r>
          <rPr>
            <sz val="9"/>
            <rFont val="宋体"/>
            <charset val="134"/>
          </rPr>
          <t xml:space="preserve">
max(0, xW1 + b1)W2 + b2, W1 的维度是 d × 4d，W2 是 4d × d</t>
        </r>
      </text>
    </comment>
  </commentList>
</comments>
</file>

<file path=xl/comments2.xml><?xml version="1.0" encoding="utf-8"?>
<comments xmlns="http://schemas.openxmlformats.org/spreadsheetml/2006/main">
  <authors>
    <author>hongf</author>
  </authors>
  <commentList>
    <comment ref="A14" authorId="0">
      <text>
        <r>
          <rPr>
            <b/>
            <sz val="9"/>
            <rFont val="宋体"/>
            <charset val="134"/>
          </rPr>
          <t>hongf:</t>
        </r>
        <r>
          <rPr>
            <sz val="9"/>
            <rFont val="宋体"/>
            <charset val="134"/>
          </rPr>
          <t xml:space="preserve">
max(0, xW1 + b1)W2 + b2, W1 的维度是 d × 4d，W2 是 4d × d</t>
        </r>
      </text>
    </comment>
  </commentList>
</comments>
</file>

<file path=xl/comments3.xml><?xml version="1.0" encoding="utf-8"?>
<comments xmlns="http://schemas.openxmlformats.org/spreadsheetml/2006/main">
  <authors>
    <author>hongf</author>
  </authors>
  <commentList>
    <comment ref="A14" authorId="0">
      <text>
        <r>
          <rPr>
            <b/>
            <sz val="9"/>
            <rFont val="宋体"/>
            <charset val="134"/>
          </rPr>
          <t>hongf:</t>
        </r>
        <r>
          <rPr>
            <sz val="9"/>
            <rFont val="宋体"/>
            <charset val="134"/>
          </rPr>
          <t xml:space="preserve">
max(0, xW1 + b1)W2 + b2, W1 的维度是 d × 4d，W2 是 4d × d</t>
        </r>
      </text>
    </comment>
  </commentList>
</comments>
</file>

<file path=xl/comments4.xml><?xml version="1.0" encoding="utf-8"?>
<comments xmlns="http://schemas.openxmlformats.org/spreadsheetml/2006/main">
  <authors>
    <author>hongf</author>
  </authors>
  <commentList>
    <comment ref="A14" authorId="0">
      <text>
        <r>
          <rPr>
            <b/>
            <sz val="9"/>
            <rFont val="宋体"/>
            <charset val="134"/>
          </rPr>
          <t>hongf:</t>
        </r>
        <r>
          <rPr>
            <sz val="9"/>
            <rFont val="宋体"/>
            <charset val="134"/>
          </rPr>
          <t xml:space="preserve">
max(0, xW1 + b1)W2 + b2, W1 的维度是 d × 4d，W2 是 4d × d</t>
        </r>
      </text>
    </comment>
  </commentList>
</comments>
</file>

<file path=xl/comments5.xml><?xml version="1.0" encoding="utf-8"?>
<comments xmlns="http://schemas.openxmlformats.org/spreadsheetml/2006/main">
  <authors>
    <author>hongf</author>
  </authors>
  <commentList>
    <comment ref="A14" authorId="0">
      <text>
        <r>
          <rPr>
            <b/>
            <sz val="9"/>
            <rFont val="宋体"/>
            <charset val="134"/>
          </rPr>
          <t>hongf:</t>
        </r>
        <r>
          <rPr>
            <sz val="9"/>
            <rFont val="宋体"/>
            <charset val="134"/>
          </rPr>
          <t xml:space="preserve">
max(0, xW1 + b1)W2 + b2, W1 的维度是 d × 4d，W2 是 4d × d</t>
        </r>
      </text>
    </comment>
  </commentList>
</comments>
</file>

<file path=xl/comments6.xml><?xml version="1.0" encoding="utf-8"?>
<comments xmlns="http://schemas.openxmlformats.org/spreadsheetml/2006/main">
  <authors>
    <author>hongf</author>
  </authors>
  <commentList>
    <comment ref="A14" authorId="0">
      <text>
        <r>
          <rPr>
            <b/>
            <sz val="9"/>
            <rFont val="宋体"/>
            <charset val="134"/>
          </rPr>
          <t>hongf:</t>
        </r>
        <r>
          <rPr>
            <sz val="9"/>
            <rFont val="宋体"/>
            <charset val="134"/>
          </rPr>
          <t xml:space="preserve">
max(0, xW1 + b1)W2 + b2, W1 的维度是 d × 4d，W2 是 4d × d</t>
        </r>
      </text>
    </comment>
  </commentList>
</comments>
</file>

<file path=xl/sharedStrings.xml><?xml version="1.0" encoding="utf-8"?>
<sst xmlns="http://schemas.openxmlformats.org/spreadsheetml/2006/main" count="256" uniqueCount="62">
  <si>
    <t xml:space="preserve">hidden dim d = 256
layers L = 24
heads H = 16
seq len S = 512
batch size B = 32
dtype BF16 = 2 字节 </t>
  </si>
  <si>
    <t>dim</t>
  </si>
  <si>
    <t>Layer</t>
  </si>
  <si>
    <t>Head</t>
  </si>
  <si>
    <t>Seq</t>
  </si>
  <si>
    <t>Batch</t>
  </si>
  <si>
    <t>BF16</t>
  </si>
  <si>
    <t>Vocab</t>
  </si>
  <si>
    <t>- 词嵌入层 ：6400 × 256 = 1,638,400
- 注意力机制 ：每层约 262,144 参数，24层约 6,291,456
- 前馈网络 ：每层约 539,136 参数，24层约 12,939,264
- 其他层 ：少量参数
总和 ：1,638,400 + 6,291,456 + 12,939,264 ≈ 20,869,120，约20.87M</t>
  </si>
  <si>
    <t>log:
odel Params: 19.35M
Trainable Params: 19.346M</t>
  </si>
  <si>
    <t>实际  41.054M</t>
  </si>
  <si>
    <t>1.模型参数</t>
  </si>
  <si>
    <t>1 lay</t>
  </si>
  <si>
    <t>total layer(M)</t>
  </si>
  <si>
    <t>模型.pt 文件大小</t>
  </si>
  <si>
    <t>1.1 注意力层参数 (M)</t>
  </si>
  <si>
    <t>L*4DD</t>
  </si>
  <si>
    <t>1.1 词表 （词嵌入层参数）+   ROPE</t>
  </si>
  <si>
    <t>Q/K/V 权重</t>
  </si>
  <si>
    <t>3DD</t>
  </si>
  <si>
    <t>1.2 模型层参数 （1）</t>
  </si>
  <si>
    <t>输出投影权重</t>
  </si>
  <si>
    <t>1DD</t>
  </si>
  <si>
    <t>1.2.1 输入层归一化</t>
  </si>
  <si>
    <t>LayerNorm</t>
  </si>
  <si>
    <t>1.2.2 注意力机制：QKV+输出投影矩阵</t>
  </si>
  <si>
    <t>1.2 FFN 层参数</t>
  </si>
  <si>
    <t>1.2.2 注意力后归一化（24 层）</t>
  </si>
  <si>
    <t>1.3 模型层参数 （2）</t>
  </si>
  <si>
    <t>1.3.1前馈网络（Gate）</t>
  </si>
  <si>
    <t xml:space="preserve"> gate_proj : 256 × 704 = 179,712
- up_proj : 256 × 704 = 179,712
- down_proj : 704 × 256 = 179,712</t>
  </si>
  <si>
    <t>2前向激活值的显存占用</t>
  </si>
  <si>
    <t>1.3.2前馈网络（Down）</t>
  </si>
  <si>
    <t>2.1注意力层激活张量</t>
  </si>
  <si>
    <t>1.3.3前馈网络（Up）</t>
  </si>
  <si>
    <t>Q/K/V 张量</t>
  </si>
  <si>
    <t>BSD*3</t>
  </si>
  <si>
    <t>注意力输出张量</t>
  </si>
  <si>
    <t>BSD*1</t>
  </si>
  <si>
    <t>注意力分数张量</t>
  </si>
  <si>
    <t>BHSS</t>
  </si>
  <si>
    <t>1.4 最终归一化层</t>
  </si>
  <si>
    <t>2.2 FFN 层激活张量</t>
  </si>
  <si>
    <t>FFN 中间层（4d）</t>
  </si>
  <si>
    <t>BS4D</t>
  </si>
  <si>
    <t>FFN 输出层</t>
  </si>
  <si>
    <t>BS1D</t>
  </si>
  <si>
    <t>3.others</t>
  </si>
  <si>
    <t xml:space="preserve">gradient_memory_GB </t>
  </si>
  <si>
    <t xml:space="preserve">optimizer_memory_GB </t>
  </si>
  <si>
    <t>buffers</t>
  </si>
  <si>
    <t>Total</t>
  </si>
  <si>
    <t>Real</t>
  </si>
  <si>
    <t>7571MiB /   8188MiB |</t>
  </si>
  <si>
    <t>512
-8192</t>
  </si>
  <si>
    <t>Head_H</t>
  </si>
  <si>
    <r>
      <rPr>
        <sz val="9.75"/>
        <color rgb="FFF48CCA"/>
        <rFont val="Consolas"/>
        <charset val="134"/>
      </rPr>
      <t>6623</t>
    </r>
    <r>
      <rPr>
        <sz val="9.75"/>
        <color rgb="FF82D99F"/>
        <rFont val="Consolas"/>
        <charset val="134"/>
      </rPr>
      <t xml:space="preserve">MiB /   </t>
    </r>
    <r>
      <rPr>
        <sz val="9.75"/>
        <color rgb="FFF48CCA"/>
        <rFont val="Consolas"/>
        <charset val="134"/>
      </rPr>
      <t>8188</t>
    </r>
    <r>
      <rPr>
        <sz val="9.75"/>
        <color rgb="FF82D99F"/>
        <rFont val="Consolas"/>
        <charset val="134"/>
      </rPr>
      <t>MiB</t>
    </r>
  </si>
  <si>
    <t>4727MiB /   8188MiB</t>
  </si>
  <si>
    <t>3171MiB /   8188MiB</t>
  </si>
  <si>
    <t>4DD</t>
  </si>
  <si>
    <t>#  7333MiB /   8188MiB</t>
  </si>
  <si>
    <t>#  5533MiB /   8188MiB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</si>
</sst>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宋体"/>
      <charset val="134"/>
      <scheme val="minor"/>
    </font>
    <font>
      <sz val="9.75"/>
      <color rgb="FFF48CCA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.75"/>
      <color rgb="FF82D99F"/>
      <name val="Consolas"/>
      <charset val="134"/>
    </font>
    <font>
      <b/>
      <sz val="9"/>
      <name val="宋体"/>
      <charset val="134"/>
    </font>
    <font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9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10" borderId="5">
      <alignment vertical="center"/>
    </xf>
    <xf numFmtId="0" fontId="11" fillId="11" borderId="6">
      <alignment vertical="center"/>
    </xf>
    <xf numFmtId="0" fontId="12" fillId="11" borderId="5">
      <alignment vertical="center"/>
    </xf>
    <xf numFmtId="0" fontId="13" fillId="12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13" borderId="0">
      <alignment vertical="center"/>
    </xf>
    <xf numFmtId="0" fontId="17" fillId="14" borderId="0">
      <alignment vertical="center"/>
    </xf>
    <xf numFmtId="0" fontId="18" fillId="15" borderId="0">
      <alignment vertical="center"/>
    </xf>
    <xf numFmtId="0" fontId="19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19" fillId="23" borderId="0">
      <alignment vertical="center"/>
    </xf>
    <xf numFmtId="0" fontId="19" fillId="7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19" fillId="34" borderId="0">
      <alignment vertical="center"/>
    </xf>
    <xf numFmtId="0" fontId="19" fillId="35" borderId="0">
      <alignment vertical="center"/>
    </xf>
    <xf numFmtId="0" fontId="20" fillId="36" borderId="0">
      <alignment vertical="center"/>
    </xf>
    <xf numFmtId="0" fontId="20" fillId="37" borderId="0">
      <alignment vertical="center"/>
    </xf>
    <xf numFmtId="0" fontId="19" fillId="38" borderId="0">
      <alignment vertical="center"/>
    </xf>
  </cellStyleXfs>
  <cellXfs count="2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top"/>
    </xf>
    <xf numFmtId="0" fontId="0" fillId="2" borderId="1" xfId="0" applyFill="1" applyBorder="1" applyAlignment="1">
      <alignment horizontal="center" vertical="top"/>
    </xf>
    <xf numFmtId="0" fontId="0" fillId="3" borderId="1" xfId="0" applyFill="1" applyBorder="1" applyAlignment="1">
      <alignment vertical="center"/>
    </xf>
    <xf numFmtId="176" fontId="0" fillId="3" borderId="1" xfId="0" applyNumberForma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176" fontId="0" fillId="5" borderId="1" xfId="0" applyNumberFormat="1" applyFill="1" applyBorder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4" borderId="1" xfId="0" applyFill="1" applyBorder="1" applyAlignment="1">
      <alignment horizontal="center" vertical="top"/>
    </xf>
    <xf numFmtId="0" fontId="0" fillId="6" borderId="1" xfId="0" applyFill="1" applyBorder="1" applyAlignment="1">
      <alignment vertical="center"/>
    </xf>
    <xf numFmtId="176" fontId="0" fillId="6" borderId="1" xfId="0" applyNumberForma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7" borderId="1" xfId="0" applyFill="1" applyBorder="1" applyAlignment="1">
      <alignment vertical="center"/>
    </xf>
    <xf numFmtId="176" fontId="0" fillId="7" borderId="1" xfId="0" applyNumberFormat="1" applyFill="1" applyBorder="1" applyAlignment="1">
      <alignment vertical="center"/>
    </xf>
    <xf numFmtId="0" fontId="0" fillId="7" borderId="0" xfId="0" applyFill="1" applyAlignment="1">
      <alignment vertical="center"/>
    </xf>
    <xf numFmtId="0" fontId="0" fillId="8" borderId="1" xfId="0" applyFill="1" applyBorder="1" applyAlignment="1">
      <alignment vertical="center"/>
    </xf>
    <xf numFmtId="0" fontId="0" fillId="4" borderId="1" xfId="0" applyFill="1" applyBorder="1" applyAlignment="1">
      <alignment horizontal="center" vertical="top" wrapText="1"/>
    </xf>
    <xf numFmtId="3" fontId="0" fillId="0" borderId="1" xfId="0" applyNumberFormat="1" applyBorder="1" applyAlignment="1">
      <alignment vertical="center"/>
    </xf>
    <xf numFmtId="0" fontId="0" fillId="0" borderId="0" xfId="0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"/>
  <sheetViews>
    <sheetView tabSelected="1" workbookViewId="0">
      <selection activeCell="D7" sqref="D7"/>
    </sheetView>
  </sheetViews>
  <sheetFormatPr defaultColWidth="9" defaultRowHeight="14"/>
  <cols>
    <col min="1" max="1" width="27.7272727272727" customWidth="1"/>
    <col min="2" max="2" width="11.1818181818182" customWidth="1"/>
    <col min="3" max="3" width="14.3636363636364" customWidth="1"/>
    <col min="7" max="7" width="39.2727272727273" customWidth="1"/>
    <col min="8" max="8" width="32.7272727272727" customWidth="1"/>
    <col min="9" max="9" width="60" customWidth="1"/>
  </cols>
  <sheetData>
    <row r="1" ht="84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0" t="s">
        <v>7</v>
      </c>
      <c r="I1" s="22" t="s">
        <v>8</v>
      </c>
    </row>
    <row r="2" ht="42" spans="1:9">
      <c r="B2" s="2">
        <v>256</v>
      </c>
      <c r="C2" s="2">
        <v>24</v>
      </c>
      <c r="D2" s="2">
        <v>16</v>
      </c>
      <c r="E2" s="2">
        <v>512</v>
      </c>
      <c r="F2" s="2">
        <v>32</v>
      </c>
      <c r="G2" s="2">
        <v>2</v>
      </c>
      <c r="H2" s="10">
        <v>6400</v>
      </c>
      <c r="I2" s="1" t="s">
        <v>9</v>
      </c>
    </row>
    <row r="3" spans="1:9">
      <c r="I3" t="s">
        <v>10</v>
      </c>
    </row>
    <row r="4" spans="1:9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11" t="s">
        <v>7</v>
      </c>
    </row>
    <row r="5" spans="1:9">
      <c r="A5" s="12">
        <v>1024</v>
      </c>
      <c r="B5" s="2">
        <v>20</v>
      </c>
      <c r="C5" s="2">
        <v>16</v>
      </c>
      <c r="D5" s="2">
        <v>256000</v>
      </c>
      <c r="E5" s="2">
        <v>32</v>
      </c>
      <c r="F5" s="2">
        <v>1</v>
      </c>
      <c r="G5" s="11">
        <v>248320</v>
      </c>
    </row>
    <row r="9" spans="1:9">
      <c r="A9" t="s">
        <v>11</v>
      </c>
      <c r="B9" t="s">
        <v>12</v>
      </c>
      <c r="C9" t="s">
        <v>13</v>
      </c>
      <c r="G9" s="13" t="s">
        <v>14</v>
      </c>
      <c r="H9" s="14">
        <f>SUM(H10:H21)</f>
        <v>733.789306640625</v>
      </c>
    </row>
    <row r="10" spans="1:9">
      <c r="A10" s="4" t="s">
        <v>15</v>
      </c>
      <c r="B10" s="5">
        <f>SUM(B11:B16)/1024/1024*F5</f>
        <v>12.001953125</v>
      </c>
      <c r="C10" s="5">
        <f>B10*B5</f>
        <v>240.0390625</v>
      </c>
      <c r="D10" t="s">
        <v>16</v>
      </c>
      <c r="G10" s="15" t="s">
        <v>17</v>
      </c>
      <c r="H10" s="5">
        <f>G5*A5/1024/1024*F5+D5*A5*F5/1024/1024</f>
        <v>492.5</v>
      </c>
    </row>
    <row r="11" spans="1:9">
      <c r="A11" s="4" t="s">
        <v>18</v>
      </c>
      <c r="B11" s="4">
        <f>3*A5*A5</f>
        <v>3145728</v>
      </c>
      <c r="C11" s="5"/>
      <c r="D11" t="s">
        <v>19</v>
      </c>
      <c r="G11" s="15" t="s">
        <v>20</v>
      </c>
      <c r="H11" s="5"/>
    </row>
    <row r="12" spans="1:9">
      <c r="A12" s="4" t="s">
        <v>21</v>
      </c>
      <c r="B12" s="4">
        <f>1*A5*A5</f>
        <v>1048576</v>
      </c>
      <c r="C12" s="5"/>
      <c r="D12" t="s">
        <v>22</v>
      </c>
      <c r="G12" s="15" t="s">
        <v>23</v>
      </c>
      <c r="H12" s="5">
        <f>A5*B5/1024/1024*F5</f>
        <v>0.01953125</v>
      </c>
    </row>
    <row r="13" spans="1:9">
      <c r="A13" s="4" t="s">
        <v>24</v>
      </c>
      <c r="B13" s="4">
        <f>A5*2</f>
        <v>2048</v>
      </c>
      <c r="C13" s="5"/>
      <c r="G13" s="15" t="s">
        <v>25</v>
      </c>
      <c r="H13" s="5">
        <f>4*A5*A5*B5/1024/1024*F5</f>
        <v>80</v>
      </c>
    </row>
    <row r="14" spans="1:9">
      <c r="A14" s="4" t="s">
        <v>26</v>
      </c>
      <c r="B14" s="4"/>
      <c r="C14" s="5"/>
      <c r="G14" s="15" t="s">
        <v>27</v>
      </c>
      <c r="H14" s="5">
        <f>A5*B5/1024/1024*F5</f>
        <v>0.01953125</v>
      </c>
    </row>
    <row r="15" spans="1:9">
      <c r="A15" s="4"/>
      <c r="B15" s="4">
        <f>A5*4*A5</f>
        <v>4194304</v>
      </c>
      <c r="C15" s="5"/>
      <c r="G15" s="15" t="s">
        <v>28</v>
      </c>
      <c r="H15" s="5"/>
    </row>
    <row r="16" ht="42" spans="1:9">
      <c r="A16" s="4"/>
      <c r="B16" s="4">
        <f>4*A5*A5</f>
        <v>4194304</v>
      </c>
      <c r="C16" s="5"/>
      <c r="G16" s="16" t="s">
        <v>29</v>
      </c>
      <c r="H16" s="17">
        <f>A5*CEILING(A5*8/3,64)*B5*F5/1024/1024</f>
        <v>53.75</v>
      </c>
      <c r="I16" s="22" t="s">
        <v>30</v>
      </c>
    </row>
    <row r="17" spans="1:8">
      <c r="A17" s="6" t="s">
        <v>31</v>
      </c>
      <c r="B17" s="6"/>
      <c r="C17" s="6"/>
      <c r="G17" s="16" t="s">
        <v>32</v>
      </c>
      <c r="H17" s="17">
        <f>CEILING(A5*8/3,64)*A5*B5*F5/1024/1024</f>
        <v>53.75</v>
      </c>
    </row>
    <row r="18" spans="1:8">
      <c r="A18" s="6" t="s">
        <v>33</v>
      </c>
      <c r="B18" s="6">
        <f>SUM(B19:B21)/1024/1024*F5</f>
        <v>32032000</v>
      </c>
      <c r="C18" s="6">
        <f>B18*B5</f>
        <v>640640000</v>
      </c>
      <c r="G18" s="16" t="s">
        <v>34</v>
      </c>
      <c r="H18" s="18">
        <f>A5*CEILING(A5*8/3,64)*B5*F5/1024/1024</f>
        <v>53.75</v>
      </c>
    </row>
    <row r="19" spans="1:8">
      <c r="A19" s="6" t="s">
        <v>35</v>
      </c>
      <c r="B19" s="6">
        <f>E5*D5*A5*3</f>
        <v>25165824000</v>
      </c>
      <c r="C19" s="6"/>
      <c r="D19" t="s">
        <v>36</v>
      </c>
      <c r="G19" s="15"/>
      <c r="H19" s="5"/>
    </row>
    <row r="20" spans="1:8">
      <c r="A20" s="6" t="s">
        <v>37</v>
      </c>
      <c r="B20" s="6">
        <f>E5*D5*A5</f>
        <v>8388608000</v>
      </c>
      <c r="C20" s="6"/>
      <c r="D20" t="s">
        <v>38</v>
      </c>
      <c r="G20" s="15"/>
      <c r="H20" s="5"/>
    </row>
    <row r="21" spans="1:8">
      <c r="A21" s="6" t="s">
        <v>39</v>
      </c>
      <c r="B21" s="19">
        <f>E5*C5*D5*D5</f>
        <v>33554432000000</v>
      </c>
      <c r="C21" s="6"/>
      <c r="D21" t="s">
        <v>40</v>
      </c>
      <c r="G21" s="15" t="s">
        <v>41</v>
      </c>
      <c r="H21" s="5">
        <f>256/1024/1024*F5</f>
        <v>0.000244140625</v>
      </c>
    </row>
    <row r="22" spans="1:8">
      <c r="A22" s="6" t="s">
        <v>42</v>
      </c>
      <c r="B22" s="6">
        <f>SUM(B23:B24)*F5/1024/1024</f>
        <v>40000</v>
      </c>
      <c r="C22" s="6">
        <f>B22*B5</f>
        <v>800000</v>
      </c>
      <c r="G22" s="15"/>
      <c r="H22" s="5"/>
    </row>
    <row r="23" spans="1:8">
      <c r="A23" s="6" t="s">
        <v>43</v>
      </c>
      <c r="B23" s="6">
        <f>E5*D5*4*A5</f>
        <v>33554432000</v>
      </c>
      <c r="C23" s="6"/>
      <c r="D23" t="s">
        <v>44</v>
      </c>
      <c r="G23" s="15"/>
      <c r="H23" s="5"/>
    </row>
    <row r="24" spans="1:8">
      <c r="A24" s="6" t="s">
        <v>45</v>
      </c>
      <c r="B24" s="6">
        <f>E5*D5*A5</f>
        <v>8388608000</v>
      </c>
      <c r="C24" s="6"/>
      <c r="D24" t="s">
        <v>46</v>
      </c>
      <c r="G24" s="15"/>
      <c r="H24" s="5"/>
    </row>
    <row r="25" spans="1:8">
      <c r="A25" s="7" t="s">
        <v>47</v>
      </c>
      <c r="B25" s="7"/>
      <c r="C25" s="7"/>
      <c r="G25" s="15"/>
      <c r="H25" s="5"/>
    </row>
    <row r="26" spans="1:8">
      <c r="A26" s="7" t="s">
        <v>48</v>
      </c>
      <c r="B26" s="7"/>
      <c r="C26" s="8">
        <f>1*C10</f>
        <v>240.0390625</v>
      </c>
      <c r="G26" s="15"/>
      <c r="H26" s="5"/>
    </row>
    <row r="27" spans="1:8">
      <c r="A27" s="7" t="s">
        <v>49</v>
      </c>
      <c r="B27" s="7"/>
      <c r="C27" s="8">
        <f>2*C10</f>
        <v>480.078125</v>
      </c>
      <c r="G27" s="15"/>
      <c r="H27" s="5"/>
    </row>
    <row r="28" spans="1:8">
      <c r="A28" s="7" t="s">
        <v>50</v>
      </c>
      <c r="B28" s="7"/>
      <c r="C28" s="8">
        <f>200</f>
        <v>200</v>
      </c>
      <c r="G28" s="15"/>
      <c r="H28" s="5"/>
    </row>
    <row r="29" spans="1:8">
      <c r="A29" s="7" t="s">
        <v>51</v>
      </c>
      <c r="B29" s="7"/>
      <c r="C29" s="7">
        <f>SUM(C10:C28)</f>
        <v>641441160.15625</v>
      </c>
      <c r="G29" s="15"/>
      <c r="H29" s="5"/>
    </row>
    <row r="31" spans="1:8">
      <c r="A31" t="s">
        <v>52</v>
      </c>
      <c r="C31" t="s">
        <v>53</v>
      </c>
    </row>
    <row r="37" spans="1:7">
      <c r="A37" s="2" t="s">
        <v>1</v>
      </c>
      <c r="B37" s="2" t="s">
        <v>2</v>
      </c>
      <c r="C37" s="2" t="s">
        <v>3</v>
      </c>
      <c r="D37" s="2" t="s">
        <v>4</v>
      </c>
      <c r="E37" s="2" t="s">
        <v>5</v>
      </c>
      <c r="F37" s="2" t="s">
        <v>6</v>
      </c>
      <c r="G37" s="11" t="s">
        <v>7</v>
      </c>
    </row>
    <row r="38" ht="28" spans="1:7">
      <c r="A38" s="12">
        <v>1024</v>
      </c>
      <c r="B38" s="2">
        <v>20</v>
      </c>
      <c r="C38" s="2">
        <v>16</v>
      </c>
      <c r="D38" s="20" t="s">
        <v>54</v>
      </c>
      <c r="E38" s="2">
        <v>32</v>
      </c>
      <c r="F38" s="2">
        <v>1</v>
      </c>
      <c r="G38" s="21">
        <v>248320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topLeftCell="A2" workbookViewId="0">
      <selection activeCell="A16" sqref="A16"/>
    </sheetView>
  </sheetViews>
  <sheetFormatPr defaultColWidth="9" defaultRowHeight="14" outlineLevelCol="5"/>
  <cols>
    <col min="1" max="1" width="27.7272727272727" customWidth="1"/>
    <col min="2" max="2" width="11.1818181818182" customWidth="1"/>
    <col min="3" max="3" width="14.3636363636364" customWidth="1"/>
  </cols>
  <sheetData>
    <row r="1" ht="84" spans="1:6">
      <c r="A1" s="1" t="s">
        <v>0</v>
      </c>
    </row>
    <row r="4" spans="1:6">
      <c r="A4" s="2" t="s">
        <v>1</v>
      </c>
      <c r="B4" s="2" t="s">
        <v>2</v>
      </c>
      <c r="C4" s="2" t="s">
        <v>55</v>
      </c>
      <c r="D4" s="2" t="s">
        <v>4</v>
      </c>
      <c r="E4" s="2" t="s">
        <v>5</v>
      </c>
      <c r="F4" s="2" t="s">
        <v>6</v>
      </c>
    </row>
    <row r="5" spans="1:6">
      <c r="A5" s="2">
        <v>256</v>
      </c>
      <c r="B5" s="3">
        <v>20</v>
      </c>
      <c r="C5" s="2">
        <v>16</v>
      </c>
      <c r="D5" s="2">
        <v>512</v>
      </c>
      <c r="E5" s="2">
        <v>32</v>
      </c>
      <c r="F5" s="2">
        <v>2</v>
      </c>
    </row>
    <row r="9" spans="1:6">
      <c r="A9" t="s">
        <v>11</v>
      </c>
      <c r="B9" t="s">
        <v>12</v>
      </c>
      <c r="C9" t="s">
        <v>13</v>
      </c>
    </row>
    <row r="10" spans="1:6">
      <c r="A10" s="4" t="s">
        <v>15</v>
      </c>
      <c r="B10" s="5">
        <f>SUM(B11:B16)/1024/1024*F5</f>
        <v>1.5009765625</v>
      </c>
      <c r="C10" s="5">
        <f>B10*B5</f>
        <v>30.01953125</v>
      </c>
      <c r="D10" t="s">
        <v>16</v>
      </c>
    </row>
    <row r="11" spans="1:6">
      <c r="A11" s="4" t="s">
        <v>18</v>
      </c>
      <c r="B11" s="4">
        <f>3*A5*A5</f>
        <v>196608</v>
      </c>
      <c r="C11" s="5"/>
      <c r="D11" t="s">
        <v>19</v>
      </c>
    </row>
    <row r="12" spans="1:6">
      <c r="A12" s="4" t="s">
        <v>21</v>
      </c>
      <c r="B12" s="4">
        <f>1*A5*A5</f>
        <v>65536</v>
      </c>
      <c r="C12" s="5"/>
      <c r="D12" t="s">
        <v>22</v>
      </c>
    </row>
    <row r="13" spans="1:6">
      <c r="A13" s="4" t="s">
        <v>24</v>
      </c>
      <c r="B13" s="4">
        <f>A5*2</f>
        <v>512</v>
      </c>
      <c r="C13" s="5"/>
    </row>
    <row r="14" spans="1:6">
      <c r="A14" s="4" t="s">
        <v>26</v>
      </c>
      <c r="B14" s="4"/>
      <c r="C14" s="5"/>
    </row>
    <row r="15" spans="1:6">
      <c r="A15" s="4"/>
      <c r="B15" s="4">
        <f>A5*4*A5</f>
        <v>262144</v>
      </c>
      <c r="C15" s="5"/>
    </row>
    <row r="16" spans="1:6">
      <c r="A16" s="4"/>
      <c r="B16" s="4">
        <f>4*A5*A5</f>
        <v>262144</v>
      </c>
      <c r="C16" s="5"/>
    </row>
    <row r="17" spans="1:4">
      <c r="A17" s="6" t="s">
        <v>31</v>
      </c>
      <c r="B17" s="6"/>
      <c r="C17" s="6"/>
    </row>
    <row r="18" spans="1:4">
      <c r="A18" s="6" t="s">
        <v>33</v>
      </c>
      <c r="B18" s="6">
        <f>SUM(B19:B21)/1024/1024*F5</f>
        <v>288</v>
      </c>
      <c r="C18" s="6">
        <f>B18*B5</f>
        <v>5760</v>
      </c>
    </row>
    <row r="19" spans="1:4">
      <c r="A19" s="6" t="s">
        <v>35</v>
      </c>
      <c r="B19" s="6">
        <f>E5*D5*A5*3</f>
        <v>12582912</v>
      </c>
      <c r="C19" s="6"/>
      <c r="D19" t="s">
        <v>36</v>
      </c>
    </row>
    <row r="20" spans="1:4">
      <c r="A20" s="6" t="s">
        <v>37</v>
      </c>
      <c r="B20" s="6">
        <f>E5*D5*A5</f>
        <v>4194304</v>
      </c>
      <c r="C20" s="6"/>
      <c r="D20" t="s">
        <v>38</v>
      </c>
    </row>
    <row r="21" spans="1:4">
      <c r="A21" s="6" t="s">
        <v>39</v>
      </c>
      <c r="B21" s="6">
        <f>E5*C5*D5*D5</f>
        <v>134217728</v>
      </c>
      <c r="C21" s="6"/>
      <c r="D21" t="s">
        <v>40</v>
      </c>
    </row>
    <row r="22" spans="1:4">
      <c r="A22" s="6" t="s">
        <v>42</v>
      </c>
      <c r="B22" s="6">
        <f>SUM(B23:B24)*F5/1024/1024</f>
        <v>40</v>
      </c>
      <c r="C22" s="6">
        <f>B22*B5</f>
        <v>800</v>
      </c>
    </row>
    <row r="23" spans="1:4">
      <c r="A23" s="6" t="s">
        <v>43</v>
      </c>
      <c r="B23" s="6">
        <f>E5*D5*4*A5</f>
        <v>16777216</v>
      </c>
      <c r="C23" s="6"/>
      <c r="D23" t="s">
        <v>44</v>
      </c>
    </row>
    <row r="24" spans="1:4">
      <c r="A24" s="6" t="s">
        <v>45</v>
      </c>
      <c r="B24" s="6">
        <f>E5*D5*A5</f>
        <v>4194304</v>
      </c>
      <c r="C24" s="6"/>
      <c r="D24" t="s">
        <v>46</v>
      </c>
    </row>
    <row r="25" spans="1:4">
      <c r="A25" s="7" t="s">
        <v>47</v>
      </c>
      <c r="B25" s="7"/>
      <c r="C25" s="7"/>
    </row>
    <row r="26" spans="1:4">
      <c r="A26" s="7" t="s">
        <v>48</v>
      </c>
      <c r="B26" s="7"/>
      <c r="C26" s="8">
        <f>1*C10</f>
        <v>30.01953125</v>
      </c>
    </row>
    <row r="27" spans="1:4">
      <c r="A27" s="7" t="s">
        <v>49</v>
      </c>
      <c r="B27" s="7"/>
      <c r="C27" s="8">
        <f>2*C10</f>
        <v>60.0390625</v>
      </c>
    </row>
    <row r="28" spans="1:4">
      <c r="A28" s="7" t="s">
        <v>50</v>
      </c>
      <c r="B28" s="7"/>
      <c r="C28" s="8">
        <f>200</f>
        <v>200</v>
      </c>
    </row>
    <row r="29" spans="1:4">
      <c r="A29" s="7" t="s">
        <v>51</v>
      </c>
      <c r="B29" s="7"/>
      <c r="C29" s="7">
        <f>SUM(C10:C28)</f>
        <v>6880.078125</v>
      </c>
    </row>
    <row r="31" ht="26" spans="1:4">
      <c r="C31" s="9" t="s">
        <v>56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topLeftCell="A2" workbookViewId="0">
      <selection activeCell="A16" sqref="A16"/>
    </sheetView>
  </sheetViews>
  <sheetFormatPr defaultColWidth="9" defaultRowHeight="14" outlineLevelCol="5"/>
  <cols>
    <col min="1" max="1" width="27.7272727272727" customWidth="1"/>
    <col min="2" max="2" width="11.1818181818182" customWidth="1"/>
    <col min="3" max="3" width="14.3636363636364" customWidth="1"/>
  </cols>
  <sheetData>
    <row r="1" ht="84" spans="1:6">
      <c r="A1" s="1" t="s">
        <v>0</v>
      </c>
    </row>
    <row r="4" spans="1:6">
      <c r="A4" s="2" t="s">
        <v>1</v>
      </c>
      <c r="B4" s="2" t="s">
        <v>2</v>
      </c>
      <c r="C4" s="2" t="s">
        <v>55</v>
      </c>
      <c r="D4" s="2" t="s">
        <v>4</v>
      </c>
      <c r="E4" s="2" t="s">
        <v>5</v>
      </c>
      <c r="F4" s="2" t="s">
        <v>6</v>
      </c>
    </row>
    <row r="5" spans="1:6">
      <c r="A5" s="2">
        <v>256</v>
      </c>
      <c r="B5" s="3">
        <v>12</v>
      </c>
      <c r="C5" s="2">
        <v>16</v>
      </c>
      <c r="D5" s="2">
        <v>512</v>
      </c>
      <c r="E5" s="2">
        <v>32</v>
      </c>
      <c r="F5" s="2">
        <v>2</v>
      </c>
    </row>
    <row r="9" spans="1:6">
      <c r="A9" t="s">
        <v>11</v>
      </c>
      <c r="B9" t="s">
        <v>12</v>
      </c>
      <c r="C9" t="s">
        <v>13</v>
      </c>
    </row>
    <row r="10" spans="1:6">
      <c r="A10" s="4" t="s">
        <v>15</v>
      </c>
      <c r="B10" s="5">
        <f>SUM(B11:B16)/1024/1024*F5</f>
        <v>1.5009765625</v>
      </c>
      <c r="C10" s="5">
        <f>B10*B5</f>
        <v>18.01171875</v>
      </c>
      <c r="D10" t="s">
        <v>16</v>
      </c>
    </row>
    <row r="11" spans="1:6">
      <c r="A11" s="4" t="s">
        <v>18</v>
      </c>
      <c r="B11" s="4">
        <f>3*A5*A5</f>
        <v>196608</v>
      </c>
      <c r="C11" s="5"/>
      <c r="D11" t="s">
        <v>19</v>
      </c>
    </row>
    <row r="12" spans="1:6">
      <c r="A12" s="4" t="s">
        <v>21</v>
      </c>
      <c r="B12" s="4">
        <f>1*A5*A5</f>
        <v>65536</v>
      </c>
      <c r="C12" s="5"/>
      <c r="D12" t="s">
        <v>22</v>
      </c>
    </row>
    <row r="13" spans="1:6">
      <c r="A13" s="4" t="s">
        <v>24</v>
      </c>
      <c r="B13" s="4">
        <f>A5*2</f>
        <v>512</v>
      </c>
      <c r="C13" s="5"/>
    </row>
    <row r="14" spans="1:6">
      <c r="A14" s="4" t="s">
        <v>26</v>
      </c>
      <c r="B14" s="4"/>
      <c r="C14" s="5"/>
    </row>
    <row r="15" spans="1:6">
      <c r="A15" s="4"/>
      <c r="B15" s="4">
        <f>A5*4*A5</f>
        <v>262144</v>
      </c>
      <c r="C15" s="5"/>
    </row>
    <row r="16" spans="1:6">
      <c r="A16" s="4"/>
      <c r="B16" s="4">
        <f>4*A5*A5</f>
        <v>262144</v>
      </c>
      <c r="C16" s="5"/>
    </row>
    <row r="17" spans="1:4">
      <c r="A17" s="6" t="s">
        <v>31</v>
      </c>
      <c r="B17" s="6"/>
      <c r="C17" s="6"/>
    </row>
    <row r="18" spans="1:4">
      <c r="A18" s="6" t="s">
        <v>33</v>
      </c>
      <c r="B18" s="6">
        <f>SUM(B19:B21)/1024/1024*F5</f>
        <v>288</v>
      </c>
      <c r="C18" s="6">
        <f>B18*B5</f>
        <v>3456</v>
      </c>
    </row>
    <row r="19" spans="1:4">
      <c r="A19" s="6" t="s">
        <v>35</v>
      </c>
      <c r="B19" s="6">
        <f>E5*D5*A5*3</f>
        <v>12582912</v>
      </c>
      <c r="C19" s="6"/>
      <c r="D19" t="s">
        <v>36</v>
      </c>
    </row>
    <row r="20" spans="1:4">
      <c r="A20" s="6" t="s">
        <v>37</v>
      </c>
      <c r="B20" s="6">
        <f>E5*D5*A5</f>
        <v>4194304</v>
      </c>
      <c r="C20" s="6"/>
      <c r="D20" t="s">
        <v>38</v>
      </c>
    </row>
    <row r="21" spans="1:4">
      <c r="A21" s="6" t="s">
        <v>39</v>
      </c>
      <c r="B21" s="6">
        <f>E5*C5*D5*D5</f>
        <v>134217728</v>
      </c>
      <c r="C21" s="6"/>
      <c r="D21" t="s">
        <v>40</v>
      </c>
    </row>
    <row r="22" spans="1:4">
      <c r="A22" s="6" t="s">
        <v>42</v>
      </c>
      <c r="B22" s="6">
        <f>SUM(B23:B24)*F5/1024/1024</f>
        <v>40</v>
      </c>
      <c r="C22" s="6">
        <f>B22*B5</f>
        <v>480</v>
      </c>
    </row>
    <row r="23" spans="1:4">
      <c r="A23" s="6" t="s">
        <v>43</v>
      </c>
      <c r="B23" s="6">
        <f>E5*D5*4*A5</f>
        <v>16777216</v>
      </c>
      <c r="C23" s="6"/>
      <c r="D23" t="s">
        <v>44</v>
      </c>
    </row>
    <row r="24" spans="1:4">
      <c r="A24" s="6" t="s">
        <v>45</v>
      </c>
      <c r="B24" s="6">
        <f>E5*D5*A5</f>
        <v>4194304</v>
      </c>
      <c r="C24" s="6"/>
      <c r="D24" t="s">
        <v>46</v>
      </c>
    </row>
    <row r="25" spans="1:4">
      <c r="A25" s="7" t="s">
        <v>47</v>
      </c>
      <c r="B25" s="7"/>
      <c r="C25" s="7"/>
    </row>
    <row r="26" spans="1:4">
      <c r="A26" s="7" t="s">
        <v>48</v>
      </c>
      <c r="B26" s="7"/>
      <c r="C26" s="8">
        <f>1*C10</f>
        <v>18.01171875</v>
      </c>
    </row>
    <row r="27" spans="1:4">
      <c r="A27" s="7" t="s">
        <v>49</v>
      </c>
      <c r="B27" s="7"/>
      <c r="C27" s="8">
        <f>2*C10</f>
        <v>36.0234375</v>
      </c>
    </row>
    <row r="28" spans="1:4">
      <c r="A28" s="7" t="s">
        <v>50</v>
      </c>
      <c r="B28" s="7"/>
      <c r="C28" s="8">
        <f>200</f>
        <v>200</v>
      </c>
    </row>
    <row r="29" spans="1:4">
      <c r="A29" s="7" t="s">
        <v>51</v>
      </c>
      <c r="B29" s="7"/>
      <c r="C29" s="7">
        <f>SUM(C10:C28)</f>
        <v>4208.046875</v>
      </c>
    </row>
    <row r="31" ht="26" spans="1:4">
      <c r="C31" s="9" t="s">
        <v>57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topLeftCell="A2" workbookViewId="0">
      <selection activeCell="A16" sqref="A16"/>
    </sheetView>
  </sheetViews>
  <sheetFormatPr defaultColWidth="9" defaultRowHeight="14" outlineLevelCol="5"/>
  <cols>
    <col min="1" max="1" width="27.7272727272727" customWidth="1"/>
    <col min="2" max="2" width="11.1818181818182" customWidth="1"/>
    <col min="3" max="3" width="14.3636363636364" customWidth="1"/>
    <col min="6" max="6" width="10.5454545454545"/>
  </cols>
  <sheetData>
    <row r="1" ht="84" spans="1:6">
      <c r="A1" s="1" t="s">
        <v>0</v>
      </c>
    </row>
    <row r="4" spans="1:6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5" spans="1:6">
      <c r="A5" s="3">
        <v>128</v>
      </c>
      <c r="B5" s="3">
        <v>12</v>
      </c>
      <c r="C5" s="2">
        <v>16</v>
      </c>
      <c r="D5" s="2">
        <v>512</v>
      </c>
      <c r="E5" s="2">
        <v>32</v>
      </c>
      <c r="F5" s="2">
        <v>2</v>
      </c>
    </row>
    <row r="9" spans="1:6">
      <c r="A9" t="s">
        <v>11</v>
      </c>
      <c r="B9" t="s">
        <v>12</v>
      </c>
      <c r="C9" t="s">
        <v>13</v>
      </c>
    </row>
    <row r="10" spans="1:6">
      <c r="A10" s="4" t="s">
        <v>15</v>
      </c>
      <c r="B10" s="5">
        <f>SUM(B11:B16)/1024/1024*F5</f>
        <v>0.37548828125</v>
      </c>
      <c r="C10" s="5">
        <f>B10*B5</f>
        <v>4.505859375</v>
      </c>
      <c r="D10" t="s">
        <v>16</v>
      </c>
    </row>
    <row r="11" spans="1:6">
      <c r="A11" s="4" t="s">
        <v>18</v>
      </c>
      <c r="B11" s="4">
        <f>3*A5*A5</f>
        <v>49152</v>
      </c>
      <c r="C11" s="5"/>
      <c r="D11" t="s">
        <v>19</v>
      </c>
    </row>
    <row r="12" spans="1:6">
      <c r="A12" s="4" t="s">
        <v>21</v>
      </c>
      <c r="B12" s="4">
        <f>1*A5*A5</f>
        <v>16384</v>
      </c>
      <c r="C12" s="5"/>
      <c r="D12" t="s">
        <v>22</v>
      </c>
    </row>
    <row r="13" spans="1:6">
      <c r="A13" s="4" t="s">
        <v>24</v>
      </c>
      <c r="B13" s="4">
        <f>A5*2</f>
        <v>256</v>
      </c>
      <c r="C13" s="5"/>
    </row>
    <row r="14" spans="1:6">
      <c r="A14" s="4" t="s">
        <v>26</v>
      </c>
      <c r="B14" s="4"/>
      <c r="C14" s="5"/>
    </row>
    <row r="15" spans="1:6">
      <c r="A15" s="4"/>
      <c r="B15" s="4">
        <f>A5*4*A5</f>
        <v>65536</v>
      </c>
      <c r="C15" s="5"/>
    </row>
    <row r="16" spans="1:6">
      <c r="A16" s="4"/>
      <c r="B16" s="4">
        <f>4*A5*A5</f>
        <v>65536</v>
      </c>
      <c r="C16" s="5"/>
    </row>
    <row r="17" spans="1:6">
      <c r="A17" s="6" t="s">
        <v>31</v>
      </c>
      <c r="B17" s="6"/>
      <c r="C17" s="6"/>
    </row>
    <row r="18" spans="1:6">
      <c r="A18" s="6" t="s">
        <v>33</v>
      </c>
      <c r="B18" s="6">
        <f>SUM(B19:B21)/1024/1024*F5</f>
        <v>272</v>
      </c>
      <c r="C18" s="6">
        <f>B18*B5</f>
        <v>3264</v>
      </c>
      <c r="F18">
        <f>12*32*512*512</f>
        <v>100663296</v>
      </c>
    </row>
    <row r="19" spans="1:6">
      <c r="A19" s="6" t="s">
        <v>35</v>
      </c>
      <c r="B19" s="6">
        <f>E5*D5*A5*3</f>
        <v>6291456</v>
      </c>
      <c r="C19" s="6"/>
      <c r="D19" t="s">
        <v>36</v>
      </c>
    </row>
    <row r="20" spans="1:6">
      <c r="A20" s="6" t="s">
        <v>37</v>
      </c>
      <c r="B20" s="6">
        <f>E5*D5*A5</f>
        <v>2097152</v>
      </c>
      <c r="C20" s="6"/>
      <c r="D20" t="s">
        <v>38</v>
      </c>
    </row>
    <row r="21" spans="1:6">
      <c r="A21" s="6" t="s">
        <v>39</v>
      </c>
      <c r="B21" s="6">
        <f>E5*C5*D5*D5</f>
        <v>134217728</v>
      </c>
      <c r="C21" s="6"/>
      <c r="D21" t="s">
        <v>40</v>
      </c>
    </row>
    <row r="22" spans="1:6">
      <c r="A22" s="6" t="s">
        <v>42</v>
      </c>
      <c r="B22" s="6">
        <f>SUM(B23:B24)*F5/1024/1024</f>
        <v>20</v>
      </c>
      <c r="C22" s="6">
        <f>B22*B5</f>
        <v>240</v>
      </c>
    </row>
    <row r="23" spans="1:6">
      <c r="A23" s="6" t="s">
        <v>43</v>
      </c>
      <c r="B23" s="6">
        <f>E5*D5*4*A5</f>
        <v>8388608</v>
      </c>
      <c r="C23" s="6"/>
      <c r="D23" t="s">
        <v>44</v>
      </c>
    </row>
    <row r="24" spans="1:6">
      <c r="A24" s="6" t="s">
        <v>45</v>
      </c>
      <c r="B24" s="6">
        <f>E5*D5*A5</f>
        <v>2097152</v>
      </c>
      <c r="C24" s="6"/>
      <c r="D24" t="s">
        <v>46</v>
      </c>
    </row>
    <row r="25" spans="1:6">
      <c r="A25" s="7" t="s">
        <v>47</v>
      </c>
      <c r="B25" s="7"/>
      <c r="C25" s="7"/>
    </row>
    <row r="26" spans="1:6">
      <c r="A26" s="7" t="s">
        <v>48</v>
      </c>
      <c r="B26" s="7"/>
      <c r="C26" s="8">
        <f>1*C10</f>
        <v>4.505859375</v>
      </c>
    </row>
    <row r="27" spans="1:6">
      <c r="A27" s="7" t="s">
        <v>49</v>
      </c>
      <c r="B27" s="7"/>
      <c r="C27" s="8">
        <f>2*C10</f>
        <v>9.01171875</v>
      </c>
    </row>
    <row r="28" spans="1:6">
      <c r="A28" s="7" t="s">
        <v>50</v>
      </c>
      <c r="B28" s="7"/>
      <c r="C28" s="8">
        <f>200</f>
        <v>200</v>
      </c>
    </row>
    <row r="29" spans="1:6">
      <c r="A29" s="7" t="s">
        <v>51</v>
      </c>
      <c r="B29" s="7"/>
      <c r="C29" s="7">
        <f>SUM(C10:C28)</f>
        <v>3722.0234375</v>
      </c>
    </row>
    <row r="31" ht="26" spans="1:6">
      <c r="C31" s="9" t="s">
        <v>58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F31"/>
  <sheetViews>
    <sheetView topLeftCell="A2" workbookViewId="0">
      <selection activeCell="A16" sqref="A16"/>
    </sheetView>
  </sheetViews>
  <sheetFormatPr defaultColWidth="9" defaultRowHeight="14" outlineLevelCol="5"/>
  <cols>
    <col min="1" max="1" width="27.7272727272727" customWidth="1"/>
    <col min="2" max="2" width="11.1818181818182" customWidth="1"/>
    <col min="3" max="3" width="14.3636363636364" customWidth="1"/>
  </cols>
  <sheetData>
    <row r="1" ht="84" spans="1:6">
      <c r="A1" s="1" t="s">
        <v>0</v>
      </c>
    </row>
    <row r="4" spans="1:6">
      <c r="A4" s="2" t="s">
        <v>1</v>
      </c>
      <c r="B4" s="2" t="s">
        <v>2</v>
      </c>
      <c r="C4" s="2" t="s">
        <v>55</v>
      </c>
      <c r="D4" s="2" t="s">
        <v>4</v>
      </c>
      <c r="E4" s="2" t="s">
        <v>5</v>
      </c>
      <c r="F4" s="2" t="s">
        <v>6</v>
      </c>
    </row>
    <row r="5" spans="1:6">
      <c r="A5" s="2">
        <v>512</v>
      </c>
      <c r="B5" s="3">
        <v>12</v>
      </c>
      <c r="C5" s="2">
        <v>16</v>
      </c>
      <c r="D5" s="2">
        <v>512</v>
      </c>
      <c r="E5" s="2">
        <v>32</v>
      </c>
      <c r="F5" s="2">
        <v>2</v>
      </c>
    </row>
    <row r="9" spans="1:6">
      <c r="A9" t="s">
        <v>11</v>
      </c>
      <c r="B9" t="s">
        <v>12</v>
      </c>
      <c r="C9" t="s">
        <v>13</v>
      </c>
    </row>
    <row r="10" spans="1:6">
      <c r="A10" s="4" t="s">
        <v>15</v>
      </c>
      <c r="B10" s="5">
        <f>SUM(B11:B16)/1024/1024*F5</f>
        <v>6.001953125</v>
      </c>
      <c r="C10" s="5">
        <f>B10*B5</f>
        <v>72.0234375</v>
      </c>
      <c r="D10" t="s">
        <v>16</v>
      </c>
    </row>
    <row r="11" spans="1:6">
      <c r="A11" s="4" t="s">
        <v>18</v>
      </c>
      <c r="B11" s="4">
        <f>3*A5*A5</f>
        <v>786432</v>
      </c>
      <c r="C11" s="5">
        <f>B11*B5/1024/1024</f>
        <v>9</v>
      </c>
      <c r="D11" t="s">
        <v>19</v>
      </c>
    </row>
    <row r="12" spans="1:6">
      <c r="A12" s="4" t="s">
        <v>21</v>
      </c>
      <c r="B12" s="4">
        <f>1*A5*A5</f>
        <v>262144</v>
      </c>
      <c r="C12" s="5"/>
      <c r="D12" t="s">
        <v>22</v>
      </c>
    </row>
    <row r="13" spans="1:6">
      <c r="A13" s="4" t="s">
        <v>24</v>
      </c>
      <c r="B13" s="4">
        <f>A5*2</f>
        <v>1024</v>
      </c>
      <c r="C13" s="5"/>
    </row>
    <row r="14" spans="1:6">
      <c r="A14" s="4" t="s">
        <v>26</v>
      </c>
      <c r="B14" s="4"/>
      <c r="C14" s="5"/>
    </row>
    <row r="15" spans="1:6">
      <c r="A15" s="4"/>
      <c r="B15" s="4">
        <f>A5*4*A5</f>
        <v>1048576</v>
      </c>
      <c r="C15" s="5"/>
      <c r="D15" t="s">
        <v>59</v>
      </c>
    </row>
    <row r="16" spans="1:6">
      <c r="A16" s="4"/>
      <c r="B16" s="4">
        <f>4*A5*A5</f>
        <v>1048576</v>
      </c>
      <c r="C16" s="5"/>
      <c r="D16" t="s">
        <v>59</v>
      </c>
    </row>
    <row r="17" spans="1:4">
      <c r="A17" s="6" t="s">
        <v>31</v>
      </c>
      <c r="B17" s="6"/>
      <c r="C17" s="6"/>
    </row>
    <row r="18" spans="1:4">
      <c r="A18" s="6" t="s">
        <v>33</v>
      </c>
      <c r="B18" s="6">
        <f>SUM(B19:B21)/1024/1024*F5</f>
        <v>320</v>
      </c>
      <c r="C18" s="6">
        <f>B18*B5</f>
        <v>3840</v>
      </c>
    </row>
    <row r="19" spans="1:4">
      <c r="A19" s="6" t="s">
        <v>35</v>
      </c>
      <c r="B19" s="6">
        <f>E5*D5*A5*3</f>
        <v>25165824</v>
      </c>
      <c r="C19" s="6"/>
      <c r="D19" t="s">
        <v>36</v>
      </c>
    </row>
    <row r="20" spans="1:4">
      <c r="A20" s="6" t="s">
        <v>37</v>
      </c>
      <c r="B20" s="6">
        <f>E5*D5*A5</f>
        <v>8388608</v>
      </c>
      <c r="C20" s="6"/>
      <c r="D20" t="s">
        <v>38</v>
      </c>
    </row>
    <row r="21" spans="1:4">
      <c r="A21" s="6" t="s">
        <v>39</v>
      </c>
      <c r="B21" s="6">
        <f>E5*C5*D5*D5</f>
        <v>134217728</v>
      </c>
      <c r="C21" s="6"/>
      <c r="D21" t="s">
        <v>40</v>
      </c>
    </row>
    <row r="22" spans="1:4">
      <c r="A22" s="6" t="s">
        <v>42</v>
      </c>
      <c r="B22" s="6">
        <f>SUM(B23:B24)*F5/1024/1024</f>
        <v>80</v>
      </c>
      <c r="C22" s="6">
        <f>B22*B5</f>
        <v>960</v>
      </c>
    </row>
    <row r="23" spans="1:4">
      <c r="A23" s="6" t="s">
        <v>43</v>
      </c>
      <c r="B23" s="6">
        <f>E5*D5*4*A5</f>
        <v>33554432</v>
      </c>
      <c r="C23" s="6"/>
      <c r="D23" t="s">
        <v>44</v>
      </c>
    </row>
    <row r="24" spans="1:4">
      <c r="A24" s="6" t="s">
        <v>45</v>
      </c>
      <c r="B24" s="6">
        <f>E5*D5*A5</f>
        <v>8388608</v>
      </c>
      <c r="C24" s="6"/>
      <c r="D24" t="s">
        <v>46</v>
      </c>
    </row>
    <row r="25" spans="1:4">
      <c r="A25" s="7" t="s">
        <v>47</v>
      </c>
      <c r="B25" s="7"/>
      <c r="C25" s="7"/>
    </row>
    <row r="26" spans="1:4">
      <c r="A26" s="7" t="s">
        <v>48</v>
      </c>
      <c r="B26" s="7"/>
      <c r="C26" s="8">
        <f>1*C10</f>
        <v>72.0234375</v>
      </c>
    </row>
    <row r="27" spans="1:4">
      <c r="A27" s="7" t="s">
        <v>49</v>
      </c>
      <c r="B27" s="7"/>
      <c r="C27" s="8">
        <f>2*C10</f>
        <v>144.046875</v>
      </c>
    </row>
    <row r="28" spans="1:4">
      <c r="A28" s="7" t="s">
        <v>50</v>
      </c>
      <c r="B28" s="7"/>
      <c r="C28" s="8">
        <f>200</f>
        <v>200</v>
      </c>
    </row>
    <row r="29" spans="1:4">
      <c r="A29" s="7" t="s">
        <v>51</v>
      </c>
      <c r="B29" s="7"/>
      <c r="C29" s="7">
        <f>SUM(C10:C28)</f>
        <v>5297.09375</v>
      </c>
    </row>
    <row r="31" ht="26" spans="1:4">
      <c r="C31" s="9" t="s">
        <v>60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F31"/>
  <sheetViews>
    <sheetView topLeftCell="A2" workbookViewId="0">
      <selection activeCell="G20" sqref="G20"/>
    </sheetView>
  </sheetViews>
  <sheetFormatPr defaultColWidth="9" defaultRowHeight="14" outlineLevelCol="5"/>
  <cols>
    <col min="1" max="1" width="27.7272727272727" customWidth="1"/>
    <col min="2" max="2" width="11.1818181818182" customWidth="1"/>
    <col min="3" max="3" width="14.3636363636364" customWidth="1"/>
  </cols>
  <sheetData>
    <row r="1" ht="84" spans="1:6">
      <c r="A1" s="1" t="s">
        <v>0</v>
      </c>
    </row>
    <row r="4" spans="1:6">
      <c r="A4" s="2" t="s">
        <v>1</v>
      </c>
      <c r="B4" s="2" t="s">
        <v>2</v>
      </c>
      <c r="C4" s="2" t="s">
        <v>55</v>
      </c>
      <c r="D4" s="2" t="s">
        <v>4</v>
      </c>
      <c r="E4" s="2" t="s">
        <v>5</v>
      </c>
      <c r="F4" s="2" t="s">
        <v>6</v>
      </c>
    </row>
    <row r="5" spans="1:6">
      <c r="A5" s="2">
        <v>512</v>
      </c>
      <c r="B5" s="3">
        <v>8</v>
      </c>
      <c r="C5" s="2">
        <v>16</v>
      </c>
      <c r="D5" s="2">
        <v>512</v>
      </c>
      <c r="E5" s="2">
        <v>32</v>
      </c>
      <c r="F5" s="2">
        <v>2</v>
      </c>
    </row>
    <row r="9" spans="1:6">
      <c r="A9" t="s">
        <v>11</v>
      </c>
      <c r="B9" t="s">
        <v>12</v>
      </c>
      <c r="C9" t="s">
        <v>13</v>
      </c>
    </row>
    <row r="10" spans="1:6">
      <c r="A10" s="4" t="s">
        <v>15</v>
      </c>
      <c r="B10" s="5">
        <f>SUM(B11:B16)/1024/1024*F5</f>
        <v>6.001953125</v>
      </c>
      <c r="C10" s="5">
        <f>B10*B5</f>
        <v>48.015625</v>
      </c>
      <c r="D10" t="s">
        <v>16</v>
      </c>
    </row>
    <row r="11" spans="1:6">
      <c r="A11" s="4" t="s">
        <v>18</v>
      </c>
      <c r="B11" s="4">
        <f>3*A5*A5</f>
        <v>786432</v>
      </c>
      <c r="C11" s="5"/>
      <c r="D11" t="s">
        <v>19</v>
      </c>
    </row>
    <row r="12" spans="1:6">
      <c r="A12" s="4" t="s">
        <v>21</v>
      </c>
      <c r="B12" s="4">
        <f>1*A5*A5</f>
        <v>262144</v>
      </c>
      <c r="C12" s="5"/>
      <c r="D12" t="s">
        <v>22</v>
      </c>
    </row>
    <row r="13" spans="1:6">
      <c r="A13" s="4" t="s">
        <v>24</v>
      </c>
      <c r="B13" s="4">
        <f>A5*2</f>
        <v>1024</v>
      </c>
      <c r="C13" s="5"/>
    </row>
    <row r="14" spans="1:6">
      <c r="A14" s="4" t="s">
        <v>26</v>
      </c>
      <c r="B14" s="4"/>
      <c r="C14" s="5"/>
    </row>
    <row r="15" spans="1:6">
      <c r="A15" s="4"/>
      <c r="B15" s="4">
        <f>A5*4*A5</f>
        <v>1048576</v>
      </c>
      <c r="C15" s="5"/>
    </row>
    <row r="16" spans="1:6">
      <c r="A16" s="4"/>
      <c r="B16" s="4">
        <f>4*A5*A5</f>
        <v>1048576</v>
      </c>
      <c r="C16" s="5"/>
    </row>
    <row r="17" spans="1:4">
      <c r="A17" s="6" t="s">
        <v>31</v>
      </c>
      <c r="B17" s="6"/>
      <c r="C17" s="6"/>
    </row>
    <row r="18" spans="1:4">
      <c r="A18" s="6" t="s">
        <v>33</v>
      </c>
      <c r="B18" s="6">
        <f>SUM(B19:B21)/1024/1024*F5</f>
        <v>320</v>
      </c>
      <c r="C18" s="6">
        <f>B18*B5</f>
        <v>2560</v>
      </c>
    </row>
    <row r="19" spans="1:4">
      <c r="A19" s="6" t="s">
        <v>35</v>
      </c>
      <c r="B19" s="6">
        <f>E5*D5*A5*3</f>
        <v>25165824</v>
      </c>
      <c r="C19" s="6"/>
      <c r="D19" t="s">
        <v>36</v>
      </c>
    </row>
    <row r="20" spans="1:4">
      <c r="A20" s="6" t="s">
        <v>37</v>
      </c>
      <c r="B20" s="6">
        <f>E5*D5*A5</f>
        <v>8388608</v>
      </c>
      <c r="C20" s="6"/>
      <c r="D20" t="s">
        <v>38</v>
      </c>
    </row>
    <row r="21" spans="1:4">
      <c r="A21" s="6" t="s">
        <v>39</v>
      </c>
      <c r="B21" s="6">
        <f>E5*C5*D5*D5</f>
        <v>134217728</v>
      </c>
      <c r="C21" s="6"/>
      <c r="D21" t="s">
        <v>40</v>
      </c>
    </row>
    <row r="22" spans="1:4">
      <c r="A22" s="6" t="s">
        <v>42</v>
      </c>
      <c r="B22" s="6">
        <f>SUM(B23:B24)*F5/1024/1024</f>
        <v>80</v>
      </c>
      <c r="C22" s="6">
        <f>B22*B5</f>
        <v>640</v>
      </c>
    </row>
    <row r="23" spans="1:4">
      <c r="A23" s="6" t="s">
        <v>43</v>
      </c>
      <c r="B23" s="6">
        <f>E5*D5*4*A5</f>
        <v>33554432</v>
      </c>
      <c r="C23" s="6"/>
      <c r="D23" t="s">
        <v>44</v>
      </c>
    </row>
    <row r="24" spans="1:4">
      <c r="A24" s="6" t="s">
        <v>45</v>
      </c>
      <c r="B24" s="6">
        <f>E5*D5*A5</f>
        <v>8388608</v>
      </c>
      <c r="C24" s="6"/>
      <c r="D24" t="s">
        <v>46</v>
      </c>
    </row>
    <row r="25" spans="1:4">
      <c r="A25" s="7" t="s">
        <v>47</v>
      </c>
      <c r="B25" s="7"/>
      <c r="C25" s="7"/>
    </row>
    <row r="26" spans="1:4">
      <c r="A26" s="7" t="s">
        <v>48</v>
      </c>
      <c r="B26" s="7"/>
      <c r="C26" s="8">
        <f>1*C10</f>
        <v>48.015625</v>
      </c>
    </row>
    <row r="27" spans="1:4">
      <c r="A27" s="7" t="s">
        <v>49</v>
      </c>
      <c r="B27" s="7"/>
      <c r="C27" s="8">
        <f>2*C10</f>
        <v>96.03125</v>
      </c>
    </row>
    <row r="28" spans="1:4">
      <c r="A28" s="7" t="s">
        <v>50</v>
      </c>
      <c r="B28" s="7"/>
      <c r="C28" s="8">
        <f>200</f>
        <v>200</v>
      </c>
    </row>
    <row r="29" spans="1:4">
      <c r="A29" s="7" t="s">
        <v>51</v>
      </c>
      <c r="B29" s="7"/>
      <c r="C29" s="7">
        <f>SUM(C10:C28)</f>
        <v>3592.0625</v>
      </c>
    </row>
    <row r="31" ht="26" spans="1:4">
      <c r="C31" s="9" t="s">
        <v>61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Scenario1</vt:lpstr>
      <vt:lpstr>Scenario-2</vt:lpstr>
      <vt:lpstr>Scenario-3</vt:lpstr>
      <vt:lpstr>Scenario-4</vt:lpstr>
      <vt:lpstr>Scenario-5</vt:lpstr>
      <vt:lpstr>Scenario-6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齐宏飞</dc:creator>
  <cp:lastModifiedBy>LTE-SAE</cp:lastModifiedBy>
  <dcterms:created xsi:type="dcterms:W3CDTF">2023-05-12T11:15:00Z</dcterms:created>
  <dcterms:modified xsi:type="dcterms:W3CDTF">2026-03-04T14:57:51Z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EFB846F521C1406D9EA257DFB8D12186_12</vt:lpwstr>
  </property>
  <property fmtid="{D5CDD505-2E9C-101B-9397-08002B2CF9AE}" pid="4" name="CalculationRule">
    <vt:i4>0</vt:i4>
  </property>
</Properties>
</file>